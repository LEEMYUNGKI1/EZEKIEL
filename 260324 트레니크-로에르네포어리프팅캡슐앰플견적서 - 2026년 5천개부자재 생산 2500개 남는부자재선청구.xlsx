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박재문바탕자료\박재문견적서최종\트레니크\앰플,크림견적서\"/>
    </mc:Choice>
  </mc:AlternateContent>
  <xr:revisionPtr revIDLastSave="0" documentId="13_ncr:1_{75BC8747-02C2-4CFA-A516-354E4A228D9A}" xr6:coauthVersionLast="45" xr6:coauthVersionMax="45" xr10:uidLastSave="{00000000-0000-0000-0000-000000000000}"/>
  <bookViews>
    <workbookView xWindow="5010" yWindow="1350" windowWidth="21450" windowHeight="12390" xr2:uid="{2074A32D-AA59-471C-AA71-B6EC48570D7C}"/>
  </bookViews>
  <sheets>
    <sheet name="용기단가변경 5천개 (2)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9" l="1"/>
  <c r="H23" i="9"/>
  <c r="H22" i="9"/>
  <c r="F22" i="9"/>
  <c r="H21" i="9"/>
  <c r="H20" i="9"/>
  <c r="F20" i="9"/>
  <c r="H17" i="9"/>
  <c r="H16" i="9"/>
  <c r="H15" i="9"/>
  <c r="H14" i="9"/>
  <c r="H13" i="9"/>
  <c r="H12" i="9"/>
  <c r="H11" i="9"/>
  <c r="F11" i="9"/>
  <c r="H10" i="9"/>
  <c r="F10" i="9"/>
  <c r="H24" i="9" l="1"/>
</calcChain>
</file>

<file path=xl/sharedStrings.xml><?xml version="1.0" encoding="utf-8"?>
<sst xmlns="http://schemas.openxmlformats.org/spreadsheetml/2006/main" count="45" uniqueCount="45">
  <si>
    <r>
      <t>원 가 산 정 보 고 건</t>
    </r>
    <r>
      <rPr>
        <b/>
        <sz val="14"/>
        <color indexed="9"/>
        <rFont val="굴림체"/>
        <family val="3"/>
        <charset val="129"/>
      </rPr>
      <t>Y</t>
    </r>
    <phoneticPr fontId="5" type="noConversion"/>
  </si>
  <si>
    <t xml:space="preserve"> TO</t>
    <phoneticPr fontId="5" type="noConversion"/>
  </si>
  <si>
    <t>각항
v.a.t별도
금액임</t>
    <phoneticPr fontId="6" type="noConversion"/>
  </si>
  <si>
    <t>회사명 에스겔화장품
우승원 대표이사
담당 박 재문 부대표
주  소 김포시 양촌읍 황금3로7번길 53</t>
    <phoneticPr fontId="5" type="noConversion"/>
  </si>
  <si>
    <t xml:space="preserve"> ATTN</t>
    <phoneticPr fontId="5" type="noConversion"/>
  </si>
  <si>
    <t xml:space="preserve"> DATE</t>
    <phoneticPr fontId="5" type="noConversion"/>
  </si>
  <si>
    <t xml:space="preserve"> Tel</t>
    <phoneticPr fontId="5" type="noConversion"/>
  </si>
  <si>
    <t>031-990-4120</t>
    <phoneticPr fontId="6" type="noConversion"/>
  </si>
  <si>
    <t xml:space="preserve"> FAX NO.</t>
    <phoneticPr fontId="5" type="noConversion"/>
  </si>
  <si>
    <t>HAND PHONE</t>
    <phoneticPr fontId="5" type="noConversion"/>
  </si>
  <si>
    <t>010-6590-7756</t>
    <phoneticPr fontId="6" type="noConversion"/>
  </si>
  <si>
    <t xml:space="preserve"> SUBJECT</t>
    <phoneticPr fontId="5" type="noConversion"/>
  </si>
  <si>
    <t>제품 견적표</t>
    <phoneticPr fontId="5" type="noConversion"/>
  </si>
  <si>
    <t>원가 산정표</t>
    <phoneticPr fontId="4" type="noConversion"/>
  </si>
  <si>
    <t xml:space="preserve"> Fax No</t>
    <phoneticPr fontId="5" type="noConversion"/>
  </si>
  <si>
    <t>031-991-4130</t>
    <phoneticPr fontId="5" type="noConversion"/>
  </si>
  <si>
    <t xml:space="preserve"> 품    명</t>
    <phoneticPr fontId="5" type="noConversion"/>
  </si>
  <si>
    <t>용 량</t>
    <phoneticPr fontId="5" type="noConversion"/>
  </si>
  <si>
    <t>구  성</t>
    <phoneticPr fontId="6" type="noConversion"/>
  </si>
  <si>
    <t>청구단가</t>
    <phoneticPr fontId="6" type="noConversion"/>
  </si>
  <si>
    <t>구성 단가</t>
    <phoneticPr fontId="6" type="noConversion"/>
  </si>
  <si>
    <t xml:space="preserve"> 원가</t>
    <phoneticPr fontId="4" type="noConversion"/>
  </si>
  <si>
    <t>구성 원가</t>
    <phoneticPr fontId="4" type="noConversion"/>
  </si>
  <si>
    <t>비   고</t>
    <phoneticPr fontId="6" type="noConversion"/>
  </si>
  <si>
    <t>내용물</t>
    <phoneticPr fontId="6" type="noConversion"/>
  </si>
  <si>
    <t>단상자</t>
    <phoneticPr fontId="4" type="noConversion"/>
  </si>
  <si>
    <t>카톤</t>
    <phoneticPr fontId="4" type="noConversion"/>
  </si>
  <si>
    <t>합계</t>
    <phoneticPr fontId="4" type="noConversion"/>
  </si>
  <si>
    <t>비  고</t>
    <phoneticPr fontId="5" type="noConversion"/>
  </si>
  <si>
    <t>제조비</t>
    <phoneticPr fontId="6" type="noConversion"/>
  </si>
  <si>
    <t>일반관리비</t>
    <phoneticPr fontId="6" type="noConversion"/>
  </si>
  <si>
    <t>영업이익비</t>
    <phoneticPr fontId="4" type="noConversion"/>
  </si>
  <si>
    <t>충진포장비</t>
    <phoneticPr fontId="4" type="noConversion"/>
  </si>
  <si>
    <t>트레니크</t>
    <phoneticPr fontId="4" type="noConversion"/>
  </si>
  <si>
    <t>용기</t>
    <phoneticPr fontId="4" type="noConversion"/>
  </si>
  <si>
    <t>스포이드</t>
    <phoneticPr fontId="4" type="noConversion"/>
  </si>
  <si>
    <t>박킹</t>
    <phoneticPr fontId="4" type="noConversion"/>
  </si>
  <si>
    <t>인쇄</t>
    <phoneticPr fontId="4" type="noConversion"/>
  </si>
  <si>
    <t>60개입</t>
    <phoneticPr fontId="4" type="noConversion"/>
  </si>
  <si>
    <t>마메이드350</t>
    <phoneticPr fontId="4" type="noConversion"/>
  </si>
  <si>
    <t>은색금속스포이드,백색고무</t>
    <phoneticPr fontId="4" type="noConversion"/>
  </si>
  <si>
    <t>1도기준</t>
    <phoneticPr fontId="4" type="noConversion"/>
  </si>
  <si>
    <t>헤비브로우투명</t>
    <phoneticPr fontId="4" type="noConversion"/>
  </si>
  <si>
    <t>로에르네포어리프팅캡슐앰플 [N251031-322]</t>
    <phoneticPr fontId="4" type="noConversion"/>
  </si>
  <si>
    <t>결재조건:발주시 70% 출고전 30%
별도청구금액:남는용기2500개*1350원=3,375,000원,남는단상자2500개*250원=625000원선청구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</si>
</sst>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F800]dddd\,\ mmmm\ dd\,\ yyyy"/>
    <numFmt numFmtId="177" formatCode="##,###\ &quot;kg&quot;"/>
    <numFmt numFmtId="178" formatCode="##,###\ &quot;ea&quot;"/>
    <numFmt numFmtId="179" formatCode="##,###\ &quot;g&quot;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굴림체"/>
      <family val="3"/>
      <charset val="129"/>
    </font>
    <font>
      <b/>
      <sz val="14"/>
      <color indexed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8"/>
      <color rgb="FFFF0000"/>
      <name val="굴림체"/>
      <family val="3"/>
      <charset val="129"/>
    </font>
    <font>
      <b/>
      <sz val="9"/>
      <name val="굴림체"/>
      <family val="3"/>
      <charset val="129"/>
    </font>
    <font>
      <b/>
      <sz val="1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6" fillId="0" borderId="0" xfId="0" applyFont="1" applyAlignment="1"/>
    <xf numFmtId="41" fontId="6" fillId="0" borderId="0" xfId="1" applyFont="1" applyAlignment="1"/>
    <xf numFmtId="0" fontId="6" fillId="0" borderId="0" xfId="0" applyFont="1" applyAlignment="1">
      <alignment horizontal="center"/>
    </xf>
    <xf numFmtId="41" fontId="6" fillId="0" borderId="0" xfId="1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41" fontId="7" fillId="0" borderId="26" xfId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41" fontId="7" fillId="0" borderId="27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41" fontId="7" fillId="0" borderId="49" xfId="1" applyFont="1" applyBorder="1" applyAlignment="1">
      <alignment horizontal="center" vertical="center"/>
    </xf>
    <xf numFmtId="179" fontId="7" fillId="0" borderId="32" xfId="1" applyNumberFormat="1" applyFont="1" applyBorder="1" applyAlignment="1">
      <alignment horizontal="center" vertical="center"/>
    </xf>
    <xf numFmtId="41" fontId="6" fillId="0" borderId="57" xfId="1" applyFont="1" applyBorder="1" applyAlignment="1">
      <alignment horizontal="center" vertical="center"/>
    </xf>
    <xf numFmtId="41" fontId="6" fillId="0" borderId="38" xfId="1" applyFont="1" applyBorder="1" applyAlignment="1">
      <alignment horizontal="center" vertical="center"/>
    </xf>
    <xf numFmtId="178" fontId="7" fillId="0" borderId="58" xfId="1" applyNumberFormat="1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41" fontId="6" fillId="0" borderId="59" xfId="1" applyFont="1" applyBorder="1" applyAlignment="1">
      <alignment horizontal="center" vertical="center"/>
    </xf>
    <xf numFmtId="41" fontId="6" fillId="0" borderId="44" xfId="1" applyFont="1" applyBorder="1" applyAlignment="1">
      <alignment horizontal="center" vertical="center"/>
    </xf>
    <xf numFmtId="41" fontId="6" fillId="0" borderId="58" xfId="1" applyFont="1" applyBorder="1" applyAlignment="1">
      <alignment horizontal="center" vertical="center"/>
    </xf>
    <xf numFmtId="41" fontId="6" fillId="0" borderId="60" xfId="1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41" fontId="6" fillId="0" borderId="63" xfId="1" applyFont="1" applyBorder="1" applyAlignment="1">
      <alignment horizontal="center" vertical="center"/>
    </xf>
    <xf numFmtId="41" fontId="6" fillId="0" borderId="64" xfId="1" applyFont="1" applyBorder="1" applyAlignment="1">
      <alignment horizontal="center" vertical="center"/>
    </xf>
    <xf numFmtId="41" fontId="6" fillId="0" borderId="41" xfId="1" applyFont="1" applyBorder="1" applyAlignment="1">
      <alignment horizontal="center" vertical="center"/>
    </xf>
    <xf numFmtId="41" fontId="6" fillId="0" borderId="42" xfId="1" applyFont="1" applyBorder="1" applyAlignment="1">
      <alignment horizontal="center" vertical="center"/>
    </xf>
    <xf numFmtId="41" fontId="6" fillId="0" borderId="61" xfId="1" applyFont="1" applyBorder="1" applyAlignment="1">
      <alignment horizontal="center" vertical="center"/>
    </xf>
    <xf numFmtId="41" fontId="7" fillId="0" borderId="46" xfId="1" applyFont="1" applyBorder="1" applyAlignment="1">
      <alignment horizontal="center" vertical="center"/>
    </xf>
    <xf numFmtId="41" fontId="7" fillId="0" borderId="47" xfId="1" applyFont="1" applyBorder="1" applyAlignment="1">
      <alignment horizontal="center" vertical="center"/>
    </xf>
    <xf numFmtId="41" fontId="6" fillId="0" borderId="33" xfId="1" applyFont="1" applyBorder="1" applyAlignment="1">
      <alignment horizontal="center" vertical="center"/>
    </xf>
    <xf numFmtId="41" fontId="7" fillId="0" borderId="43" xfId="1" applyFont="1" applyBorder="1" applyAlignment="1">
      <alignment horizontal="center" vertical="center"/>
    </xf>
    <xf numFmtId="41" fontId="7" fillId="0" borderId="44" xfId="1" applyFont="1" applyBorder="1" applyAlignment="1">
      <alignment horizontal="center" vertical="center"/>
    </xf>
    <xf numFmtId="41" fontId="7" fillId="0" borderId="45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1" fontId="7" fillId="0" borderId="5" xfId="1" applyFont="1" applyBorder="1" applyAlignment="1">
      <alignment horizontal="center" vertical="center" wrapText="1"/>
    </xf>
    <xf numFmtId="41" fontId="7" fillId="0" borderId="14" xfId="1" applyFont="1" applyBorder="1" applyAlignment="1">
      <alignment horizontal="center" vertical="center" wrapText="1"/>
    </xf>
    <xf numFmtId="41" fontId="7" fillId="0" borderId="23" xfId="1" applyFont="1" applyBorder="1" applyAlignment="1">
      <alignment horizontal="center" vertical="center" wrapText="1"/>
    </xf>
    <xf numFmtId="41" fontId="7" fillId="0" borderId="6" xfId="1" applyFont="1" applyBorder="1" applyAlignment="1">
      <alignment horizontal="center" vertical="center" wrapText="1"/>
    </xf>
    <xf numFmtId="41" fontId="7" fillId="0" borderId="7" xfId="1" applyFont="1" applyBorder="1" applyAlignment="1">
      <alignment horizontal="center" vertical="center" wrapText="1"/>
    </xf>
    <xf numFmtId="41" fontId="7" fillId="0" borderId="15" xfId="1" applyFont="1" applyBorder="1" applyAlignment="1">
      <alignment horizontal="center" vertical="center" wrapText="1"/>
    </xf>
    <xf numFmtId="41" fontId="7" fillId="0" borderId="16" xfId="1" applyFont="1" applyBorder="1" applyAlignment="1">
      <alignment horizontal="center" vertical="center" wrapText="1"/>
    </xf>
    <xf numFmtId="41" fontId="7" fillId="0" borderId="17" xfId="1" applyFont="1" applyBorder="1" applyAlignment="1">
      <alignment horizontal="center" vertical="center" wrapText="1"/>
    </xf>
    <xf numFmtId="41" fontId="7" fillId="0" borderId="24" xfId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7" fontId="7" fillId="2" borderId="37" xfId="1" applyNumberFormat="1" applyFont="1" applyFill="1" applyBorder="1" applyAlignment="1">
      <alignment horizontal="center" vertical="center"/>
    </xf>
    <xf numFmtId="177" fontId="7" fillId="2" borderId="38" xfId="1" applyNumberFormat="1" applyFont="1" applyFill="1" applyBorder="1" applyAlignment="1">
      <alignment horizontal="center" vertical="center"/>
    </xf>
    <xf numFmtId="177" fontId="7" fillId="2" borderId="39" xfId="1" applyNumberFormat="1" applyFont="1" applyFill="1" applyBorder="1" applyAlignment="1">
      <alignment horizontal="center" vertical="center"/>
    </xf>
    <xf numFmtId="41" fontId="6" fillId="0" borderId="41" xfId="1" applyFont="1" applyBorder="1" applyAlignment="1">
      <alignment horizontal="center" vertical="center"/>
    </xf>
    <xf numFmtId="41" fontId="6" fillId="0" borderId="42" xfId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1" fontId="6" fillId="0" borderId="61" xfId="1" applyFont="1" applyBorder="1" applyAlignment="1">
      <alignment horizontal="center" vertical="center"/>
    </xf>
    <xf numFmtId="41" fontId="6" fillId="0" borderId="62" xfId="1" applyFont="1" applyBorder="1" applyAlignment="1">
      <alignment horizontal="center" vertical="center"/>
    </xf>
    <xf numFmtId="41" fontId="7" fillId="0" borderId="65" xfId="1" applyFont="1" applyBorder="1" applyAlignment="1">
      <alignment horizontal="center" vertical="center"/>
    </xf>
    <xf numFmtId="41" fontId="7" fillId="0" borderId="64" xfId="1" applyFont="1" applyBorder="1" applyAlignment="1">
      <alignment horizontal="center" vertical="center"/>
    </xf>
    <xf numFmtId="41" fontId="7" fillId="0" borderId="66" xfId="1" applyFont="1" applyBorder="1" applyAlignment="1">
      <alignment horizontal="center" vertical="center"/>
    </xf>
    <xf numFmtId="41" fontId="6" fillId="0" borderId="46" xfId="1" applyFont="1" applyBorder="1" applyAlignment="1">
      <alignment horizontal="center" vertical="center"/>
    </xf>
    <xf numFmtId="41" fontId="6" fillId="0" borderId="47" xfId="1" applyFont="1" applyBorder="1" applyAlignment="1">
      <alignment horizontal="center" vertical="center"/>
    </xf>
    <xf numFmtId="41" fontId="6" fillId="0" borderId="48" xfId="1" applyFont="1" applyBorder="1" applyAlignment="1">
      <alignment horizontal="center" vertical="center"/>
    </xf>
    <xf numFmtId="41" fontId="7" fillId="0" borderId="46" xfId="1" applyFont="1" applyBorder="1" applyAlignment="1">
      <alignment horizontal="center" vertical="center"/>
    </xf>
    <xf numFmtId="41" fontId="7" fillId="0" borderId="47" xfId="1" applyFont="1" applyBorder="1" applyAlignment="1">
      <alignment horizontal="center" vertical="center"/>
    </xf>
    <xf numFmtId="41" fontId="7" fillId="0" borderId="50" xfId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0" fillId="2" borderId="36" xfId="0" applyFont="1" applyFill="1" applyBorder="1" applyAlignment="1">
      <alignment horizontal="left" vertical="top" wrapText="1"/>
    </xf>
    <xf numFmtId="0" fontId="10" fillId="2" borderId="35" xfId="0" applyFont="1" applyFill="1" applyBorder="1" applyAlignment="1">
      <alignment horizontal="left" vertical="top"/>
    </xf>
    <xf numFmtId="0" fontId="10" fillId="2" borderId="51" xfId="0" applyFont="1" applyFill="1" applyBorder="1" applyAlignment="1">
      <alignment horizontal="left" vertical="top"/>
    </xf>
    <xf numFmtId="0" fontId="10" fillId="2" borderId="15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0" fillId="2" borderId="52" xfId="0" applyFont="1" applyFill="1" applyBorder="1" applyAlignment="1">
      <alignment horizontal="left" vertical="top"/>
    </xf>
    <xf numFmtId="0" fontId="10" fillId="2" borderId="54" xfId="0" applyFont="1" applyFill="1" applyBorder="1" applyAlignment="1">
      <alignment horizontal="left" vertical="top"/>
    </xf>
    <xf numFmtId="0" fontId="10" fillId="2" borderId="55" xfId="0" applyFont="1" applyFill="1" applyBorder="1" applyAlignment="1">
      <alignment horizontal="left" vertical="top"/>
    </xf>
    <xf numFmtId="0" fontId="10" fillId="2" borderId="56" xfId="0" applyFont="1" applyFill="1" applyBorder="1" applyAlignment="1">
      <alignment horizontal="left" vertical="top"/>
    </xf>
    <xf numFmtId="0" fontId="8" fillId="0" borderId="3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41" fontId="6" fillId="0" borderId="33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1</xdr:row>
      <xdr:rowOff>419100</xdr:rowOff>
    </xdr:from>
    <xdr:to>
      <xdr:col>8</xdr:col>
      <xdr:colOff>838200</xdr:colOff>
      <xdr:row>1</xdr:row>
      <xdr:rowOff>419100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C9C4CD4-15DE-4E5C-A960-693884AFE9B0}"/>
            </a:ext>
          </a:extLst>
        </xdr:cNvPr>
        <xdr:cNvSpPr>
          <a:spLocks noChangeShapeType="1"/>
        </xdr:cNvSpPr>
      </xdr:nvSpPr>
      <xdr:spPr bwMode="auto">
        <a:xfrm>
          <a:off x="1476375" y="371475"/>
          <a:ext cx="43148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1209675</xdr:colOff>
      <xdr:row>1</xdr:row>
      <xdr:rowOff>457200</xdr:rowOff>
    </xdr:from>
    <xdr:to>
      <xdr:col>8</xdr:col>
      <xdr:colOff>923925</xdr:colOff>
      <xdr:row>1</xdr:row>
      <xdr:rowOff>457200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94496D4-94DC-4AE3-B28B-3C13FC7BF11C}"/>
            </a:ext>
          </a:extLst>
        </xdr:cNvPr>
        <xdr:cNvSpPr>
          <a:spLocks noChangeShapeType="1"/>
        </xdr:cNvSpPr>
      </xdr:nvSpPr>
      <xdr:spPr bwMode="auto">
        <a:xfrm>
          <a:off x="1476375" y="371475"/>
          <a:ext cx="43148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0DC7-B42A-4EA5-91B5-2C3B887F97F9}">
  <sheetPr>
    <pageSetUpPr fitToPage="1"/>
  </sheetPr>
  <dimension ref="A2:K37"/>
  <sheetViews>
    <sheetView tabSelected="1" topLeftCell="A4" workbookViewId="0">
      <selection activeCell="O16" sqref="O16"/>
    </sheetView>
  </sheetViews>
  <sheetFormatPr defaultRowHeight="10.5" x14ac:dyDescent="0.15"/>
  <cols>
    <col min="1" max="1" width="9.625" style="1" bestFit="1" customWidth="1"/>
    <col min="2" max="2" width="9.75" style="2" customWidth="1"/>
    <col min="3" max="3" width="10.25" style="3" customWidth="1"/>
    <col min="4" max="4" width="4" style="3" customWidth="1"/>
    <col min="5" max="5" width="3.5" style="4" customWidth="1"/>
    <col min="6" max="6" width="11.5" style="4" customWidth="1"/>
    <col min="7" max="7" width="7" style="4" customWidth="1"/>
    <col min="8" max="8" width="11.375" style="4" customWidth="1"/>
    <col min="9" max="9" width="9" style="1" bestFit="1" customWidth="1"/>
    <col min="10" max="10" width="7.125" style="1" customWidth="1"/>
    <col min="11" max="11" width="6.625" style="1" customWidth="1"/>
    <col min="12" max="16384" width="9" style="1"/>
  </cols>
  <sheetData>
    <row r="2" spans="1:11" ht="18.75" x14ac:dyDescent="0.1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1.25" thickBot="1" x14ac:dyDescent="0.2"/>
    <row r="4" spans="1:11" ht="36" customHeight="1" thickTop="1" x14ac:dyDescent="0.15">
      <c r="A4" s="5" t="s">
        <v>1</v>
      </c>
      <c r="B4" s="40" t="s">
        <v>33</v>
      </c>
      <c r="C4" s="41"/>
      <c r="D4" s="41"/>
      <c r="E4" s="42"/>
      <c r="F4" s="43" t="s">
        <v>2</v>
      </c>
      <c r="G4" s="46"/>
      <c r="H4" s="47"/>
      <c r="I4" s="52" t="s">
        <v>3</v>
      </c>
      <c r="J4" s="53"/>
      <c r="K4" s="54"/>
    </row>
    <row r="5" spans="1:11" ht="36" customHeight="1" x14ac:dyDescent="0.15">
      <c r="A5" s="6" t="s">
        <v>4</v>
      </c>
      <c r="B5" s="58"/>
      <c r="C5" s="59"/>
      <c r="D5" s="59"/>
      <c r="E5" s="60"/>
      <c r="F5" s="44"/>
      <c r="G5" s="48"/>
      <c r="H5" s="49"/>
      <c r="I5" s="55"/>
      <c r="J5" s="56"/>
      <c r="K5" s="57"/>
    </row>
    <row r="6" spans="1:11" ht="15.75" customHeight="1" x14ac:dyDescent="0.15">
      <c r="A6" s="6" t="s">
        <v>5</v>
      </c>
      <c r="B6" s="61">
        <v>46105</v>
      </c>
      <c r="C6" s="62"/>
      <c r="D6" s="62"/>
      <c r="E6" s="63"/>
      <c r="F6" s="44"/>
      <c r="G6" s="48"/>
      <c r="H6" s="49"/>
      <c r="I6" s="7" t="s">
        <v>6</v>
      </c>
      <c r="J6" s="58" t="s">
        <v>7</v>
      </c>
      <c r="K6" s="64"/>
    </row>
    <row r="7" spans="1:11" ht="15.75" customHeight="1" x14ac:dyDescent="0.15">
      <c r="A7" s="8" t="s">
        <v>8</v>
      </c>
      <c r="B7" s="65"/>
      <c r="C7" s="59"/>
      <c r="D7" s="59"/>
      <c r="E7" s="60"/>
      <c r="F7" s="45"/>
      <c r="G7" s="50"/>
      <c r="H7" s="51"/>
      <c r="I7" s="9" t="s">
        <v>9</v>
      </c>
      <c r="J7" s="65" t="s">
        <v>10</v>
      </c>
      <c r="K7" s="66"/>
    </row>
    <row r="8" spans="1:11" ht="15.75" customHeight="1" x14ac:dyDescent="0.15">
      <c r="A8" s="8" t="s">
        <v>11</v>
      </c>
      <c r="B8" s="72" t="s">
        <v>12</v>
      </c>
      <c r="C8" s="73"/>
      <c r="D8" s="73"/>
      <c r="E8" s="73"/>
      <c r="F8" s="74"/>
      <c r="G8" s="72" t="s">
        <v>13</v>
      </c>
      <c r="H8" s="74"/>
      <c r="I8" s="9" t="s">
        <v>14</v>
      </c>
      <c r="J8" s="65" t="s">
        <v>15</v>
      </c>
      <c r="K8" s="66"/>
    </row>
    <row r="9" spans="1:11" s="14" customFormat="1" ht="15.75" customHeight="1" thickBot="1" x14ac:dyDescent="0.35">
      <c r="A9" s="10" t="s">
        <v>16</v>
      </c>
      <c r="B9" s="11" t="s">
        <v>17</v>
      </c>
      <c r="C9" s="12" t="s">
        <v>18</v>
      </c>
      <c r="D9" s="75" t="s">
        <v>19</v>
      </c>
      <c r="E9" s="76"/>
      <c r="F9" s="13" t="s">
        <v>20</v>
      </c>
      <c r="G9" s="13" t="s">
        <v>21</v>
      </c>
      <c r="H9" s="13" t="s">
        <v>22</v>
      </c>
      <c r="I9" s="75" t="s">
        <v>23</v>
      </c>
      <c r="J9" s="77"/>
      <c r="K9" s="78"/>
    </row>
    <row r="10" spans="1:11" s="3" customFormat="1" ht="15.75" customHeight="1" x14ac:dyDescent="0.15">
      <c r="A10" s="102" t="s">
        <v>43</v>
      </c>
      <c r="B10" s="18">
        <v>50</v>
      </c>
      <c r="C10" s="15" t="s">
        <v>24</v>
      </c>
      <c r="D10" s="104">
        <v>0</v>
      </c>
      <c r="E10" s="105"/>
      <c r="F10" s="19">
        <f>D10*B11</f>
        <v>0</v>
      </c>
      <c r="G10" s="20">
        <v>820</v>
      </c>
      <c r="H10" s="35">
        <f>G10*B11</f>
        <v>2050000</v>
      </c>
      <c r="I10" s="67"/>
      <c r="J10" s="68"/>
      <c r="K10" s="69"/>
    </row>
    <row r="11" spans="1:11" s="3" customFormat="1" ht="15.75" customHeight="1" x14ac:dyDescent="0.15">
      <c r="A11" s="103"/>
      <c r="B11" s="21">
        <v>2500</v>
      </c>
      <c r="C11" s="22" t="s">
        <v>34</v>
      </c>
      <c r="D11" s="70">
        <v>0</v>
      </c>
      <c r="E11" s="71"/>
      <c r="F11" s="23">
        <f>D11*3000</f>
        <v>0</v>
      </c>
      <c r="G11" s="24">
        <v>680</v>
      </c>
      <c r="H11" s="30">
        <f>G11*B11</f>
        <v>1700000</v>
      </c>
      <c r="I11" s="36" t="s">
        <v>42</v>
      </c>
      <c r="J11" s="37"/>
      <c r="K11" s="38"/>
    </row>
    <row r="12" spans="1:11" s="3" customFormat="1" ht="15.75" customHeight="1" x14ac:dyDescent="0.15">
      <c r="A12" s="103"/>
      <c r="B12" s="21"/>
      <c r="C12" s="22" t="s">
        <v>35</v>
      </c>
      <c r="D12" s="30"/>
      <c r="E12" s="31"/>
      <c r="F12" s="23"/>
      <c r="G12" s="24">
        <v>580</v>
      </c>
      <c r="H12" s="30">
        <f>G12*B11</f>
        <v>1450000</v>
      </c>
      <c r="I12" s="36" t="s">
        <v>40</v>
      </c>
      <c r="J12" s="37"/>
      <c r="K12" s="38"/>
    </row>
    <row r="13" spans="1:11" s="3" customFormat="1" ht="14.25" customHeight="1" x14ac:dyDescent="0.15">
      <c r="A13" s="103"/>
      <c r="B13" s="21"/>
      <c r="C13" s="22"/>
      <c r="D13" s="30"/>
      <c r="E13" s="31"/>
      <c r="F13" s="23"/>
      <c r="G13" s="24"/>
      <c r="H13" s="30">
        <f>G13*B11</f>
        <v>0</v>
      </c>
      <c r="I13" s="36"/>
      <c r="J13" s="37"/>
      <c r="K13" s="38"/>
    </row>
    <row r="14" spans="1:11" s="3" customFormat="1" ht="14.25" customHeight="1" x14ac:dyDescent="0.15">
      <c r="A14" s="103"/>
      <c r="B14" s="21"/>
      <c r="C14" s="22" t="s">
        <v>37</v>
      </c>
      <c r="D14" s="30"/>
      <c r="E14" s="31"/>
      <c r="F14" s="23"/>
      <c r="G14" s="24">
        <v>90</v>
      </c>
      <c r="H14" s="30">
        <f>G14*B11</f>
        <v>225000</v>
      </c>
      <c r="I14" s="36" t="s">
        <v>41</v>
      </c>
      <c r="J14" s="37"/>
      <c r="K14" s="38"/>
    </row>
    <row r="15" spans="1:11" s="3" customFormat="1" ht="14.25" customHeight="1" x14ac:dyDescent="0.15">
      <c r="A15" s="103"/>
      <c r="B15" s="21"/>
      <c r="C15" s="22" t="s">
        <v>36</v>
      </c>
      <c r="D15" s="30"/>
      <c r="E15" s="31"/>
      <c r="F15" s="23"/>
      <c r="G15" s="24">
        <v>40</v>
      </c>
      <c r="H15" s="30">
        <f>G15*B11</f>
        <v>100000</v>
      </c>
      <c r="I15" s="36"/>
      <c r="J15" s="37"/>
      <c r="K15" s="38"/>
    </row>
    <row r="16" spans="1:11" s="3" customFormat="1" ht="14.25" customHeight="1" x14ac:dyDescent="0.15">
      <c r="A16" s="103"/>
      <c r="B16" s="21"/>
      <c r="C16" s="22" t="s">
        <v>25</v>
      </c>
      <c r="D16" s="30"/>
      <c r="E16" s="31"/>
      <c r="F16" s="23"/>
      <c r="G16" s="24">
        <v>250</v>
      </c>
      <c r="H16" s="30">
        <f>G16*B11</f>
        <v>625000</v>
      </c>
      <c r="I16" s="36" t="s">
        <v>39</v>
      </c>
      <c r="J16" s="37"/>
      <c r="K16" s="38"/>
    </row>
    <row r="17" spans="1:11" s="3" customFormat="1" ht="14.25" customHeight="1" x14ac:dyDescent="0.15">
      <c r="A17" s="103"/>
      <c r="B17" s="21"/>
      <c r="C17" s="22" t="s">
        <v>26</v>
      </c>
      <c r="D17" s="30"/>
      <c r="E17" s="31"/>
      <c r="F17" s="23"/>
      <c r="G17" s="24">
        <v>10</v>
      </c>
      <c r="H17" s="30">
        <f>G17*B11</f>
        <v>25000</v>
      </c>
      <c r="I17" s="36" t="s">
        <v>38</v>
      </c>
      <c r="J17" s="37"/>
      <c r="K17" s="38"/>
    </row>
    <row r="18" spans="1:11" s="3" customFormat="1" ht="14.25" customHeight="1" x14ac:dyDescent="0.15">
      <c r="A18" s="103"/>
      <c r="B18" s="21"/>
      <c r="C18" s="22"/>
      <c r="D18" s="30"/>
      <c r="E18" s="31"/>
      <c r="F18" s="23"/>
      <c r="G18" s="24"/>
      <c r="H18" s="30"/>
      <c r="I18" s="36"/>
      <c r="J18" s="37"/>
      <c r="K18" s="38"/>
    </row>
    <row r="19" spans="1:11" s="3" customFormat="1" ht="14.25" customHeight="1" x14ac:dyDescent="0.15">
      <c r="A19" s="103"/>
      <c r="B19" s="21"/>
      <c r="C19" s="22"/>
      <c r="D19" s="30"/>
      <c r="E19" s="31"/>
      <c r="F19" s="23"/>
      <c r="G19" s="24"/>
      <c r="H19" s="30"/>
      <c r="I19" s="36"/>
      <c r="J19" s="37"/>
      <c r="K19" s="38"/>
    </row>
    <row r="20" spans="1:11" s="3" customFormat="1" ht="15.75" customHeight="1" x14ac:dyDescent="0.15">
      <c r="A20" s="103"/>
      <c r="B20" s="21"/>
      <c r="C20" s="22" t="s">
        <v>29</v>
      </c>
      <c r="D20" s="70">
        <v>0</v>
      </c>
      <c r="E20" s="71"/>
      <c r="F20" s="23">
        <f>D20*B11</f>
        <v>0</v>
      </c>
      <c r="G20" s="24">
        <v>120</v>
      </c>
      <c r="H20" s="30">
        <f>G20*B11</f>
        <v>300000</v>
      </c>
      <c r="I20" s="36"/>
      <c r="J20" s="37"/>
      <c r="K20" s="38"/>
    </row>
    <row r="21" spans="1:11" s="3" customFormat="1" ht="15.75" customHeight="1" x14ac:dyDescent="0.15">
      <c r="A21" s="103"/>
      <c r="B21" s="25">
        <v>0</v>
      </c>
      <c r="C21" s="22" t="s">
        <v>32</v>
      </c>
      <c r="D21" s="70">
        <v>0</v>
      </c>
      <c r="E21" s="71"/>
      <c r="F21" s="23"/>
      <c r="G21" s="24">
        <v>300</v>
      </c>
      <c r="H21" s="30">
        <f>G21*B11</f>
        <v>750000</v>
      </c>
      <c r="I21" s="36"/>
      <c r="J21" s="37"/>
      <c r="K21" s="38"/>
    </row>
    <row r="22" spans="1:11" s="3" customFormat="1" ht="15.75" customHeight="1" x14ac:dyDescent="0.15">
      <c r="A22" s="103"/>
      <c r="B22" s="25">
        <v>0</v>
      </c>
      <c r="C22" s="22" t="s">
        <v>30</v>
      </c>
      <c r="D22" s="70">
        <v>0</v>
      </c>
      <c r="E22" s="71"/>
      <c r="F22" s="23">
        <f>D22*B11</f>
        <v>0</v>
      </c>
      <c r="G22" s="24">
        <v>100</v>
      </c>
      <c r="H22" s="30">
        <f>G22*B11</f>
        <v>250000</v>
      </c>
      <c r="I22" s="36"/>
      <c r="J22" s="37"/>
      <c r="K22" s="38"/>
    </row>
    <row r="23" spans="1:11" s="3" customFormat="1" ht="15.75" customHeight="1" thickBot="1" x14ac:dyDescent="0.2">
      <c r="A23" s="103"/>
      <c r="B23" s="26"/>
      <c r="C23" s="27" t="s">
        <v>31</v>
      </c>
      <c r="D23" s="79"/>
      <c r="E23" s="80"/>
      <c r="F23" s="28"/>
      <c r="G23" s="29">
        <v>200</v>
      </c>
      <c r="H23" s="32">
        <f>B11*G23</f>
        <v>500000</v>
      </c>
      <c r="I23" s="81"/>
      <c r="J23" s="82"/>
      <c r="K23" s="83"/>
    </row>
    <row r="24" spans="1:11" s="3" customFormat="1" ht="15.75" customHeight="1" thickBot="1" x14ac:dyDescent="0.2">
      <c r="A24" s="16"/>
      <c r="B24" s="84" t="s">
        <v>27</v>
      </c>
      <c r="C24" s="85"/>
      <c r="D24" s="85"/>
      <c r="E24" s="86"/>
      <c r="F24" s="34"/>
      <c r="G24" s="17">
        <f>SUM(G10:G23)</f>
        <v>3190</v>
      </c>
      <c r="H24" s="33">
        <f>SUM(H10:H23)</f>
        <v>7975000</v>
      </c>
      <c r="I24" s="87"/>
      <c r="J24" s="88"/>
      <c r="K24" s="89"/>
    </row>
    <row r="25" spans="1:11" s="3" customFormat="1" ht="10.5" customHeight="1" x14ac:dyDescent="0.15">
      <c r="A25" s="90" t="s">
        <v>28</v>
      </c>
      <c r="B25" s="93" t="s">
        <v>44</v>
      </c>
      <c r="C25" s="94"/>
      <c r="D25" s="94"/>
      <c r="E25" s="94"/>
      <c r="F25" s="94"/>
      <c r="G25" s="94"/>
      <c r="H25" s="94"/>
      <c r="I25" s="94"/>
      <c r="J25" s="94"/>
      <c r="K25" s="95"/>
    </row>
    <row r="26" spans="1:11" s="3" customFormat="1" ht="10.5" customHeight="1" x14ac:dyDescent="0.15">
      <c r="A26" s="91"/>
      <c r="B26" s="96"/>
      <c r="C26" s="97"/>
      <c r="D26" s="97"/>
      <c r="E26" s="97"/>
      <c r="F26" s="97"/>
      <c r="G26" s="97"/>
      <c r="H26" s="97"/>
      <c r="I26" s="97"/>
      <c r="J26" s="97"/>
      <c r="K26" s="98"/>
    </row>
    <row r="27" spans="1:11" s="3" customFormat="1" ht="10.5" customHeight="1" x14ac:dyDescent="0.15">
      <c r="A27" s="91"/>
      <c r="B27" s="96"/>
      <c r="C27" s="97"/>
      <c r="D27" s="97"/>
      <c r="E27" s="97"/>
      <c r="F27" s="97"/>
      <c r="G27" s="97"/>
      <c r="H27" s="97"/>
      <c r="I27" s="97"/>
      <c r="J27" s="97"/>
      <c r="K27" s="98"/>
    </row>
    <row r="28" spans="1:11" s="3" customFormat="1" ht="11.25" customHeight="1" thickBot="1" x14ac:dyDescent="0.2">
      <c r="A28" s="92"/>
      <c r="B28" s="99"/>
      <c r="C28" s="100"/>
      <c r="D28" s="100"/>
      <c r="E28" s="100"/>
      <c r="F28" s="100"/>
      <c r="G28" s="100"/>
      <c r="H28" s="100"/>
      <c r="I28" s="100"/>
      <c r="J28" s="100"/>
      <c r="K28" s="101"/>
    </row>
    <row r="29" spans="1:11" ht="11.25" thickTop="1" x14ac:dyDescent="0.15"/>
    <row r="33" spans="1:11" s="3" customFormat="1" x14ac:dyDescent="0.15">
      <c r="A33" s="1"/>
      <c r="B33" s="2"/>
      <c r="E33" s="4"/>
      <c r="F33" s="4"/>
      <c r="G33" s="4"/>
      <c r="H33" s="4"/>
      <c r="I33" s="1"/>
      <c r="J33" s="1"/>
      <c r="K33" s="1"/>
    </row>
    <row r="34" spans="1:11" s="3" customFormat="1" x14ac:dyDescent="0.15">
      <c r="A34" s="1"/>
      <c r="B34" s="2"/>
      <c r="E34" s="4"/>
      <c r="F34" s="4"/>
      <c r="G34" s="4"/>
      <c r="H34" s="4"/>
      <c r="I34" s="1"/>
      <c r="J34" s="1"/>
      <c r="K34" s="1"/>
    </row>
    <row r="35" spans="1:11" s="3" customFormat="1" x14ac:dyDescent="0.15">
      <c r="A35" s="1"/>
      <c r="B35" s="2"/>
      <c r="E35" s="4"/>
      <c r="F35" s="4"/>
      <c r="G35" s="4"/>
      <c r="H35" s="4"/>
      <c r="I35" s="1"/>
      <c r="J35" s="1"/>
      <c r="K35" s="1"/>
    </row>
    <row r="36" spans="1:11" s="3" customFormat="1" x14ac:dyDescent="0.15">
      <c r="A36" s="1"/>
      <c r="B36" s="2"/>
      <c r="E36" s="4"/>
      <c r="F36" s="4"/>
      <c r="G36" s="4"/>
      <c r="H36" s="4"/>
      <c r="I36" s="1"/>
      <c r="J36" s="1"/>
      <c r="K36" s="1"/>
    </row>
    <row r="37" spans="1:11" s="3" customFormat="1" x14ac:dyDescent="0.15">
      <c r="A37" s="1"/>
      <c r="B37" s="2"/>
      <c r="E37" s="4"/>
      <c r="F37" s="4"/>
      <c r="G37" s="4"/>
      <c r="H37" s="4"/>
      <c r="I37" s="1"/>
      <c r="J37" s="1"/>
      <c r="K37" s="1"/>
    </row>
  </sheetData>
  <mergeCells count="40">
    <mergeCell ref="A2:K2"/>
    <mergeCell ref="B4:E4"/>
    <mergeCell ref="F4:F7"/>
    <mergeCell ref="G4:H7"/>
    <mergeCell ref="I4:K5"/>
    <mergeCell ref="B5:E5"/>
    <mergeCell ref="B6:E6"/>
    <mergeCell ref="J6:K6"/>
    <mergeCell ref="B7:E7"/>
    <mergeCell ref="J7:K7"/>
    <mergeCell ref="I17:K17"/>
    <mergeCell ref="B8:F8"/>
    <mergeCell ref="G8:H8"/>
    <mergeCell ref="J8:K8"/>
    <mergeCell ref="D9:E9"/>
    <mergeCell ref="I9:K9"/>
    <mergeCell ref="D10:E10"/>
    <mergeCell ref="I10:K10"/>
    <mergeCell ref="D11:E11"/>
    <mergeCell ref="I11:K11"/>
    <mergeCell ref="I12:K12"/>
    <mergeCell ref="I13:K13"/>
    <mergeCell ref="I14:K14"/>
    <mergeCell ref="I15:K15"/>
    <mergeCell ref="I16:K16"/>
    <mergeCell ref="I18:K18"/>
    <mergeCell ref="I19:K19"/>
    <mergeCell ref="D20:E20"/>
    <mergeCell ref="I20:K20"/>
    <mergeCell ref="D21:E21"/>
    <mergeCell ref="I21:K21"/>
    <mergeCell ref="A25:A28"/>
    <mergeCell ref="B25:K28"/>
    <mergeCell ref="D22:E22"/>
    <mergeCell ref="I22:K22"/>
    <mergeCell ref="D23:E23"/>
    <mergeCell ref="I23:K23"/>
    <mergeCell ref="B24:E24"/>
    <mergeCell ref="I24:K24"/>
    <mergeCell ref="A10:A23"/>
  </mergeCells>
  <phoneticPr fontId="4" type="noConversion"/>
  <pageMargins left="0.7" right="0.7" top="0.75" bottom="0.75" header="0.3" footer="0.3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용기단가변경 5천개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2024-11-12T01:10:34Z</cp:lastPrinted>
  <dcterms:created xsi:type="dcterms:W3CDTF">2024-10-16T02:44:40Z</dcterms:created>
  <dcterms:modified xsi:type="dcterms:W3CDTF">2026-03-24T05:23:01Z</dcterms:modified>
</cp:coreProperties>
</file>